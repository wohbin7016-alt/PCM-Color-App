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색상개발\"/>
    </mc:Choice>
  </mc:AlternateContent>
  <bookViews>
    <workbookView xWindow="0" yWindow="0" windowWidth="28740" windowHeight="12105"/>
  </bookViews>
  <sheets>
    <sheet name="Sheet1" sheetId="1" r:id="rId1"/>
  </sheets>
  <externalReferences>
    <externalReference r:id="rId2"/>
  </externalReferences>
  <calcPr calcId="162913"/>
</workbook>
</file>

<file path=xl/calcChain.xml><?xml version="1.0" encoding="utf-8"?>
<calcChain xmlns="http://schemas.openxmlformats.org/spreadsheetml/2006/main">
  <c r="L12" i="1" l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<sst xmlns="http://schemas.openxmlformats.org/spreadsheetml/2006/main" count="65" uniqueCount="64">
  <si>
    <t>샘플명</t>
  </si>
  <si>
    <t>L*</t>
  </si>
  <si>
    <t>a*</t>
  </si>
  <si>
    <t>b*</t>
  </si>
  <si>
    <t>적황</t>
  </si>
  <si>
    <t>적갈</t>
  </si>
  <si>
    <t>흑색</t>
  </si>
  <si>
    <t>특남</t>
  </si>
  <si>
    <t>특녹</t>
  </si>
  <si>
    <t>바이</t>
  </si>
  <si>
    <t>색차(ΔE)</t>
  </si>
  <si>
    <t>비중</t>
  </si>
  <si>
    <t>NV</t>
  </si>
  <si>
    <t>도막두께</t>
  </si>
  <si>
    <t>광택</t>
  </si>
  <si>
    <t>1.65YR 3.78/3(K25A001)</t>
    <phoneticPr fontId="2" type="noConversion"/>
  </si>
  <si>
    <t>4.6B 6.5/1.0(K25B001)</t>
    <phoneticPr fontId="2" type="noConversion"/>
  </si>
  <si>
    <t>3.5PB 7.5/4.8(K25B002)</t>
    <phoneticPr fontId="2" type="noConversion"/>
  </si>
  <si>
    <t>GRAY(K25B003)</t>
    <phoneticPr fontId="2" type="noConversion"/>
  </si>
  <si>
    <t>YF0123(K25B005)</t>
    <phoneticPr fontId="2" type="noConversion"/>
  </si>
  <si>
    <t>GL0178(K25B006)</t>
    <phoneticPr fontId="2" type="noConversion"/>
  </si>
  <si>
    <t>HF0086(K25B007)</t>
    <phoneticPr fontId="2" type="noConversion"/>
  </si>
  <si>
    <t>GM0009(K25B008)</t>
    <phoneticPr fontId="2" type="noConversion"/>
  </si>
  <si>
    <t>1.8Y 7.7/0.8(K25B011)</t>
    <phoneticPr fontId="2" type="noConversion"/>
  </si>
  <si>
    <t>5YR 4/1(K25B012)</t>
    <phoneticPr fontId="2" type="noConversion"/>
  </si>
  <si>
    <t>10YR 9/2 (K25B015)</t>
    <phoneticPr fontId="2" type="noConversion"/>
  </si>
  <si>
    <t>C-3A04-2D</t>
    <phoneticPr fontId="2" type="noConversion"/>
  </si>
  <si>
    <t>C-5A29-2D</t>
    <phoneticPr fontId="2" type="noConversion"/>
  </si>
  <si>
    <t>C-5A14-2D</t>
    <phoneticPr fontId="2" type="noConversion"/>
  </si>
  <si>
    <t>C-7A05-2C</t>
    <phoneticPr fontId="2" type="noConversion"/>
  </si>
  <si>
    <t>4.6B 6.5/1.0(K25B001)</t>
    <phoneticPr fontId="2" type="noConversion"/>
  </si>
  <si>
    <t>GRAY(K25B003)</t>
    <phoneticPr fontId="2" type="noConversion"/>
  </si>
  <si>
    <t>YF0123(K25B005)</t>
    <phoneticPr fontId="2" type="noConversion"/>
  </si>
  <si>
    <t>GM0009(K25B008)</t>
    <phoneticPr fontId="2" type="noConversion"/>
  </si>
  <si>
    <t>170_백색</t>
    <phoneticPr fontId="2" type="noConversion"/>
  </si>
  <si>
    <t>5YR 4/1(K25B012)</t>
    <phoneticPr fontId="2" type="noConversion"/>
  </si>
  <si>
    <t>10YR 9/2 (K25B015)</t>
    <phoneticPr fontId="2" type="noConversion"/>
  </si>
  <si>
    <t>SH611S-G25Y</t>
    <phoneticPr fontId="2" type="noConversion"/>
  </si>
  <si>
    <t>SH701S-G05Y</t>
    <phoneticPr fontId="2" type="noConversion"/>
  </si>
  <si>
    <t>VC0308</t>
    <phoneticPr fontId="2" type="noConversion"/>
  </si>
  <si>
    <t>GD0668</t>
    <phoneticPr fontId="2" type="noConversion"/>
  </si>
  <si>
    <t>VD0620</t>
    <phoneticPr fontId="2" type="noConversion"/>
  </si>
  <si>
    <t>남색</t>
    <phoneticPr fontId="2" type="noConversion"/>
  </si>
  <si>
    <t>292c</t>
    <phoneticPr fontId="2" type="noConversion"/>
  </si>
  <si>
    <t>10B 7/8</t>
    <phoneticPr fontId="2" type="noConversion"/>
  </si>
  <si>
    <t>2.5GY 7/8</t>
    <phoneticPr fontId="2" type="noConversion"/>
  </si>
  <si>
    <t>WHITE</t>
    <phoneticPr fontId="2" type="noConversion"/>
  </si>
  <si>
    <t>RED</t>
    <phoneticPr fontId="2" type="noConversion"/>
  </si>
  <si>
    <t>6.2Y 7.8/0.2</t>
    <phoneticPr fontId="2" type="noConversion"/>
  </si>
  <si>
    <t>10YR 7/8</t>
    <phoneticPr fontId="2" type="noConversion"/>
  </si>
  <si>
    <t>117/198/199</t>
    <phoneticPr fontId="2" type="noConversion"/>
  </si>
  <si>
    <t>100/66/53</t>
    <phoneticPr fontId="2" type="noConversion"/>
  </si>
  <si>
    <t>19-1227</t>
    <phoneticPr fontId="2" type="noConversion"/>
  </si>
  <si>
    <t>14-4202</t>
    <phoneticPr fontId="2" type="noConversion"/>
  </si>
  <si>
    <t>HJWA4D</t>
    <phoneticPr fontId="2" type="noConversion"/>
  </si>
  <si>
    <t>GREEN</t>
    <phoneticPr fontId="2" type="noConversion"/>
  </si>
  <si>
    <t>GRAY(K25B003)</t>
    <phoneticPr fontId="2" type="noConversion"/>
  </si>
  <si>
    <t>RAL5005</t>
    <phoneticPr fontId="2" type="noConversion"/>
  </si>
  <si>
    <t>3.3B 4.1/4.4</t>
    <phoneticPr fontId="2" type="noConversion"/>
  </si>
  <si>
    <t>tn726</t>
    <phoneticPr fontId="2" type="noConversion"/>
  </si>
  <si>
    <t>6.25yr</t>
    <phoneticPr fontId="2" type="noConversion"/>
  </si>
  <si>
    <t>2.5pb</t>
    <phoneticPr fontId="2" type="noConversion"/>
  </si>
  <si>
    <t>WHITE</t>
    <phoneticPr fontId="2" type="noConversion"/>
  </si>
  <si>
    <t>WHITE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</si>
</sst>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2" xfId="0" applyFont="1" applyFill="1" applyBorder="1"/>
    <xf numFmtId="0" fontId="0" fillId="2" borderId="3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0" fontId="0" fillId="3" borderId="4" xfId="0" applyFont="1" applyFill="1" applyBorder="1"/>
    <xf numFmtId="0" fontId="0" fillId="3" borderId="5" xfId="0" applyFont="1" applyFill="1" applyBorder="1"/>
    <xf numFmtId="0" fontId="0" fillId="2" borderId="4" xfId="0" applyFont="1" applyFill="1" applyBorder="1"/>
    <xf numFmtId="0" fontId="0" fillId="2" borderId="5" xfId="0" applyFont="1" applyFill="1" applyBorder="1"/>
    <xf numFmtId="0" fontId="0" fillId="2" borderId="4" xfId="0" applyFont="1" applyFill="1" applyBorder="1" applyAlignment="1">
      <alignment horizontal="left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CM_&#49353;&#49345;&#44060;&#48156;_&#50756;&#49457;&#53812;_Top5&#44032;&#51473;&#54217;&#44512;_&#48372;&#51221;&#44032;&#51060;&#46300;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"/>
      <sheetName val="FIND"/>
    </sheetNames>
    <sheetDataSet>
      <sheetData sheetId="0"/>
      <sheetData sheetId="1">
        <row r="3">
          <cell r="B3">
            <v>0</v>
          </cell>
        </row>
        <row r="4">
          <cell r="B4">
            <v>0</v>
          </cell>
        </row>
        <row r="5">
          <cell r="B5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pane ySplit="1" topLeftCell="A41" activePane="bottomLeft" state="frozen"/>
      <selection pane="bottomLeft" activeCell="K51" sqref="K51"/>
    </sheetView>
  </sheetViews>
  <sheetFormatPr defaultRowHeight="16.5" x14ac:dyDescent="0.3"/>
  <cols>
    <col min="1" max="1" width="22.62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34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">
      <c r="A2" s="2" t="s">
        <v>15</v>
      </c>
      <c r="B2" s="3">
        <v>37.909999999999997</v>
      </c>
      <c r="C2" s="3">
        <v>15.66</v>
      </c>
      <c r="D2" s="3">
        <v>15.05</v>
      </c>
      <c r="E2" s="3">
        <v>7.05</v>
      </c>
      <c r="F2" s="3">
        <v>31.45</v>
      </c>
      <c r="G2" s="3">
        <v>52.06</v>
      </c>
      <c r="H2" s="3">
        <v>9.44</v>
      </c>
      <c r="I2" s="3">
        <v>0</v>
      </c>
      <c r="J2" s="3">
        <v>0</v>
      </c>
      <c r="K2" s="3">
        <v>0</v>
      </c>
      <c r="L2" s="3">
        <f>IF($A2="","",SQRT(($B2-[1]FIND!$B$3)^2+($C2-[1]FIND!$B$4)^2+($D2-[1]FIND!$B$5)^2))</f>
        <v>43.691031116237113</v>
      </c>
    </row>
    <row r="3" spans="1:16" x14ac:dyDescent="0.3">
      <c r="A3" s="4" t="s">
        <v>16</v>
      </c>
      <c r="B3" s="5">
        <v>61.01</v>
      </c>
      <c r="C3" s="5">
        <v>-2.95</v>
      </c>
      <c r="D3" s="5">
        <v>-2.93</v>
      </c>
      <c r="E3" s="5">
        <v>87.89</v>
      </c>
      <c r="F3" s="5">
        <v>6.21</v>
      </c>
      <c r="G3" s="5">
        <v>0</v>
      </c>
      <c r="H3" s="5">
        <v>5.17</v>
      </c>
      <c r="I3" s="5">
        <v>0</v>
      </c>
      <c r="J3" s="5">
        <v>0.73</v>
      </c>
      <c r="K3" s="5">
        <v>0</v>
      </c>
      <c r="L3" s="5">
        <f>IF($A3="","",SQRT(($B3-[1]FIND!$B$3)^2+($C3-[1]FIND!$B$4)^2+($D3-[1]FIND!$B$5)^2))</f>
        <v>61.151512655043938</v>
      </c>
    </row>
    <row r="4" spans="1:16" x14ac:dyDescent="0.3">
      <c r="A4" s="2" t="s">
        <v>17</v>
      </c>
      <c r="B4" s="3">
        <v>76.72</v>
      </c>
      <c r="C4" s="3">
        <v>-3.43</v>
      </c>
      <c r="D4" s="3">
        <v>-14.76</v>
      </c>
      <c r="E4" s="3">
        <v>97.62</v>
      </c>
      <c r="F4" s="3">
        <v>0.69</v>
      </c>
      <c r="G4" s="3">
        <v>0.2</v>
      </c>
      <c r="H4" s="3">
        <v>0</v>
      </c>
      <c r="I4" s="3">
        <v>1.0900000000000001</v>
      </c>
      <c r="J4" s="3">
        <v>0</v>
      </c>
      <c r="K4" s="3">
        <v>0.4</v>
      </c>
      <c r="L4" s="3">
        <f>IF($A4="","",SQRT(($B4-[1]FIND!$B$3)^2+($C4-[1]FIND!$B$4)^2+($D4-[1]FIND!$B$5)^2))</f>
        <v>78.202179637143104</v>
      </c>
    </row>
    <row r="5" spans="1:16" x14ac:dyDescent="0.3">
      <c r="A5" s="4" t="s">
        <v>18</v>
      </c>
      <c r="B5" s="5">
        <v>63.53</v>
      </c>
      <c r="C5" s="5">
        <v>-1.24</v>
      </c>
      <c r="D5" s="5">
        <v>1.47</v>
      </c>
      <c r="E5" s="5">
        <v>82.46</v>
      </c>
      <c r="F5" s="5">
        <v>12.61</v>
      </c>
      <c r="G5" s="5">
        <v>2.2000000000000002</v>
      </c>
      <c r="H5" s="5">
        <v>4.38</v>
      </c>
      <c r="I5" s="5">
        <v>0</v>
      </c>
      <c r="J5" s="5">
        <v>0</v>
      </c>
      <c r="K5" s="5">
        <v>0</v>
      </c>
      <c r="L5" s="5">
        <f>IF($A5="","",SQRT(($B5-[1]FIND!$B$3)^2+($C5-[1]FIND!$B$4)^2+($D5-[1]FIND!$B$5)^2))</f>
        <v>63.55910162990034</v>
      </c>
    </row>
    <row r="6" spans="1:16" x14ac:dyDescent="0.3">
      <c r="A6" s="2" t="s">
        <v>19</v>
      </c>
      <c r="B6" s="3">
        <v>83.26</v>
      </c>
      <c r="C6" s="3">
        <v>-2.2599999999999998</v>
      </c>
      <c r="D6" s="3">
        <v>19.39</v>
      </c>
      <c r="E6" s="3">
        <v>83.63</v>
      </c>
      <c r="F6" s="3">
        <v>16.21</v>
      </c>
      <c r="G6" s="3">
        <v>0</v>
      </c>
      <c r="H6" s="3">
        <v>0</v>
      </c>
      <c r="I6" s="3">
        <v>0</v>
      </c>
      <c r="J6" s="3">
        <v>0.16</v>
      </c>
      <c r="K6" s="3">
        <v>0</v>
      </c>
      <c r="L6" s="3">
        <f>IF($A6="","",SQRT(($B6-[1]FIND!$B$3)^2+($C6-[1]FIND!$B$4)^2+($D6-[1]FIND!$B$5)^2))</f>
        <v>85.517877078421449</v>
      </c>
    </row>
    <row r="7" spans="1:16" x14ac:dyDescent="0.3">
      <c r="A7" s="4" t="s">
        <v>20</v>
      </c>
      <c r="B7" s="5">
        <v>44.75</v>
      </c>
      <c r="C7" s="5">
        <v>-21.37</v>
      </c>
      <c r="D7" s="5">
        <v>7.98</v>
      </c>
      <c r="E7" s="5">
        <v>12.28</v>
      </c>
      <c r="F7" s="5">
        <v>39.130000000000003</v>
      </c>
      <c r="G7" s="5">
        <v>4.93</v>
      </c>
      <c r="H7" s="5">
        <v>0</v>
      </c>
      <c r="I7" s="5">
        <v>0</v>
      </c>
      <c r="J7" s="5">
        <v>43.66</v>
      </c>
      <c r="K7" s="5">
        <v>0</v>
      </c>
      <c r="L7" s="5">
        <f>IF($A7="","",SQRT(($B7-[1]FIND!$B$3)^2+($C7-[1]FIND!$B$4)^2+($D7-[1]FIND!$B$5)^2))</f>
        <v>50.228675077091175</v>
      </c>
    </row>
    <row r="8" spans="1:16" x14ac:dyDescent="0.3">
      <c r="A8" s="2" t="s">
        <v>21</v>
      </c>
      <c r="B8" s="3">
        <v>83.34</v>
      </c>
      <c r="C8" s="3">
        <v>3.75</v>
      </c>
      <c r="D8" s="3">
        <v>14.21</v>
      </c>
      <c r="E8" s="3">
        <v>91.53</v>
      </c>
      <c r="F8" s="3">
        <v>7.92</v>
      </c>
      <c r="G8" s="3">
        <v>0.55000000000000004</v>
      </c>
      <c r="H8" s="3">
        <v>0</v>
      </c>
      <c r="I8" s="3">
        <v>0</v>
      </c>
      <c r="J8" s="3">
        <v>0</v>
      </c>
      <c r="K8" s="3">
        <v>0</v>
      </c>
      <c r="L8" s="3">
        <f>IF($A8="","",SQRT(($B8-[1]FIND!$B$3)^2+($C8-[1]FIND!$B$4)^2+($D8-[1]FIND!$B$5)^2))</f>
        <v>84.625895563946628</v>
      </c>
    </row>
    <row r="9" spans="1:16" x14ac:dyDescent="0.3">
      <c r="A9" s="4" t="s">
        <v>22</v>
      </c>
      <c r="B9" s="5">
        <v>41.08</v>
      </c>
      <c r="C9" s="5">
        <v>-24.26</v>
      </c>
      <c r="D9" s="5">
        <v>8.83</v>
      </c>
      <c r="E9" s="5">
        <v>1.32</v>
      </c>
      <c r="F9" s="5">
        <v>32.81</v>
      </c>
      <c r="G9" s="5">
        <v>1.39</v>
      </c>
      <c r="H9" s="5">
        <v>0</v>
      </c>
      <c r="I9" s="5">
        <v>0</v>
      </c>
      <c r="J9" s="5">
        <v>64.48</v>
      </c>
      <c r="K9" s="5">
        <v>0</v>
      </c>
      <c r="L9" s="5">
        <f>IF($A9="","",SQRT(($B9-[1]FIND!$B$3)^2+($C9-[1]FIND!$B$4)^2+($D9-[1]FIND!$B$5)^2))</f>
        <v>48.518892196751565</v>
      </c>
    </row>
    <row r="10" spans="1:16" x14ac:dyDescent="0.3">
      <c r="A10" s="2" t="s">
        <v>23</v>
      </c>
      <c r="B10" s="3">
        <v>75.33</v>
      </c>
      <c r="C10" s="3">
        <v>-0.71</v>
      </c>
      <c r="D10" s="3">
        <v>6.56</v>
      </c>
      <c r="E10" s="3">
        <v>89.55</v>
      </c>
      <c r="F10" s="3">
        <v>9.33</v>
      </c>
      <c r="G10" s="3">
        <v>0.19</v>
      </c>
      <c r="H10" s="3">
        <v>0.93</v>
      </c>
      <c r="I10" s="3">
        <v>0</v>
      </c>
      <c r="J10" s="3">
        <v>0</v>
      </c>
      <c r="K10" s="3">
        <v>0</v>
      </c>
      <c r="L10" s="3">
        <f>IF($A10="","",SQRT(($B10-[1]FIND!$B$3)^2+($C10-[1]FIND!$B$4)^2+($D10-[1]FIND!$B$5)^2))</f>
        <v>75.618427648292183</v>
      </c>
    </row>
    <row r="11" spans="1:16" x14ac:dyDescent="0.3">
      <c r="A11" s="4" t="s">
        <v>24</v>
      </c>
      <c r="B11" s="5">
        <v>43.84</v>
      </c>
      <c r="C11" s="5">
        <v>2.35</v>
      </c>
      <c r="D11" s="5">
        <v>3.78</v>
      </c>
      <c r="E11" s="5">
        <v>33.04</v>
      </c>
      <c r="F11" s="5">
        <v>42.86</v>
      </c>
      <c r="G11" s="5">
        <v>10.71</v>
      </c>
      <c r="H11" s="5">
        <v>13.39</v>
      </c>
      <c r="I11" s="5">
        <v>0</v>
      </c>
      <c r="J11" s="5">
        <v>0</v>
      </c>
      <c r="K11" s="5">
        <v>0</v>
      </c>
      <c r="L11" s="5">
        <f>IF($A11="","",SQRT(($B11-[1]FIND!$B$3)^2+($C11-[1]FIND!$B$4)^2+($D11-[1]FIND!$B$5)^2))</f>
        <v>44.065366218834491</v>
      </c>
    </row>
    <row r="12" spans="1:16" x14ac:dyDescent="0.3">
      <c r="A12" s="2" t="s">
        <v>25</v>
      </c>
      <c r="B12" s="3">
        <v>85.36</v>
      </c>
      <c r="C12" s="3">
        <v>2.0099999999999998</v>
      </c>
      <c r="D12" s="3">
        <v>13.4</v>
      </c>
      <c r="E12" s="3">
        <v>91.94</v>
      </c>
      <c r="F12" s="3">
        <v>7.84</v>
      </c>
      <c r="G12" s="3">
        <v>0.22</v>
      </c>
      <c r="H12" s="3">
        <v>0</v>
      </c>
      <c r="I12" s="3">
        <v>0</v>
      </c>
      <c r="J12" s="3">
        <v>0</v>
      </c>
      <c r="K12" s="3">
        <v>0</v>
      </c>
      <c r="L12" s="3">
        <f>IF($A12="","",SQRT(($B12-[1]FIND!$B$3)^2+($C12-[1]FIND!$B$4)^2+($D12-[1]FIND!$B$5)^2))</f>
        <v>86.428755052933624</v>
      </c>
    </row>
    <row r="13" spans="1:16" x14ac:dyDescent="0.3">
      <c r="A13" s="6" t="s">
        <v>26</v>
      </c>
      <c r="B13" s="7">
        <v>80.099999999999994</v>
      </c>
      <c r="C13" s="7">
        <v>-3.71</v>
      </c>
      <c r="D13" s="7">
        <v>10.7</v>
      </c>
      <c r="E13" s="7">
        <v>92.25</v>
      </c>
      <c r="F13" s="7">
        <v>7.26</v>
      </c>
      <c r="G13" s="7">
        <v>0</v>
      </c>
      <c r="H13" s="7">
        <v>0.4</v>
      </c>
      <c r="I13" s="7">
        <v>0</v>
      </c>
      <c r="J13" s="7">
        <v>0.09</v>
      </c>
      <c r="K13" s="7">
        <v>0</v>
      </c>
    </row>
    <row r="14" spans="1:16" x14ac:dyDescent="0.3">
      <c r="A14" s="8" t="s">
        <v>27</v>
      </c>
      <c r="B14" s="9">
        <v>43.84</v>
      </c>
      <c r="C14" s="9">
        <v>-7.04</v>
      </c>
      <c r="D14" s="9">
        <v>-10.38</v>
      </c>
      <c r="E14" s="9">
        <v>59.79</v>
      </c>
      <c r="F14" s="9">
        <v>2.6</v>
      </c>
      <c r="G14" s="9">
        <v>1.3</v>
      </c>
      <c r="H14" s="9">
        <v>13.21</v>
      </c>
      <c r="I14" s="9">
        <v>23.1</v>
      </c>
      <c r="J14" s="9">
        <v>0</v>
      </c>
      <c r="K14" s="9">
        <v>0</v>
      </c>
    </row>
    <row r="15" spans="1:16" x14ac:dyDescent="0.3">
      <c r="A15" s="6" t="s">
        <v>28</v>
      </c>
      <c r="B15" s="7">
        <v>38.31</v>
      </c>
      <c r="C15" s="7">
        <v>-4.5599999999999996</v>
      </c>
      <c r="D15" s="7">
        <v>-2.82</v>
      </c>
      <c r="E15" s="7">
        <v>26.82</v>
      </c>
      <c r="F15" s="7">
        <v>0</v>
      </c>
      <c r="G15" s="7">
        <v>4.0199999999999996</v>
      </c>
      <c r="H15" s="7">
        <v>0</v>
      </c>
      <c r="I15" s="7">
        <v>69.16</v>
      </c>
      <c r="J15" s="7">
        <v>0</v>
      </c>
      <c r="K15" s="7">
        <v>0</v>
      </c>
    </row>
    <row r="16" spans="1:16" x14ac:dyDescent="0.3">
      <c r="A16" s="8" t="s">
        <v>29</v>
      </c>
      <c r="B16" s="9">
        <v>80.47</v>
      </c>
      <c r="C16" s="9">
        <v>-1.65</v>
      </c>
      <c r="D16" s="9">
        <v>1.92</v>
      </c>
      <c r="E16" s="9">
        <v>98.07</v>
      </c>
      <c r="F16" s="9">
        <v>1.53</v>
      </c>
      <c r="G16" s="9">
        <v>0.01</v>
      </c>
      <c r="H16" s="9">
        <v>0.39</v>
      </c>
      <c r="I16" s="9">
        <v>0</v>
      </c>
      <c r="J16" s="9">
        <v>0</v>
      </c>
      <c r="K16" s="9">
        <v>0</v>
      </c>
    </row>
    <row r="17" spans="1:11" x14ac:dyDescent="0.3">
      <c r="A17" s="6" t="s">
        <v>30</v>
      </c>
      <c r="B17" s="7">
        <v>61.01</v>
      </c>
      <c r="C17" s="7">
        <v>-2.95</v>
      </c>
      <c r="D17" s="7">
        <v>-2.93</v>
      </c>
      <c r="E17" s="7">
        <v>87.89</v>
      </c>
      <c r="F17" s="7">
        <v>6.21</v>
      </c>
      <c r="G17" s="7">
        <v>0</v>
      </c>
      <c r="H17" s="7">
        <v>5.17</v>
      </c>
      <c r="I17" s="7">
        <v>0</v>
      </c>
      <c r="J17" s="7">
        <v>6.21</v>
      </c>
      <c r="K17" s="7">
        <v>0</v>
      </c>
    </row>
    <row r="18" spans="1:11" x14ac:dyDescent="0.3">
      <c r="A18" s="8" t="s">
        <v>31</v>
      </c>
      <c r="B18" s="9">
        <v>63.64</v>
      </c>
      <c r="C18" s="9">
        <v>-1.1000000000000001</v>
      </c>
      <c r="D18" s="9">
        <v>1.2</v>
      </c>
      <c r="E18" s="9">
        <v>82.46</v>
      </c>
      <c r="F18" s="9">
        <v>12.61</v>
      </c>
      <c r="G18" s="9">
        <v>2.2000000000000002</v>
      </c>
      <c r="H18" s="9">
        <v>4.38</v>
      </c>
      <c r="I18" s="9">
        <v>0</v>
      </c>
      <c r="J18" s="9">
        <v>0</v>
      </c>
      <c r="K18" s="9">
        <v>0</v>
      </c>
    </row>
    <row r="19" spans="1:11" x14ac:dyDescent="0.3">
      <c r="A19" s="6" t="s">
        <v>32</v>
      </c>
      <c r="B19" s="7">
        <v>83.26</v>
      </c>
      <c r="C19" s="7">
        <v>-2.2599999999999998</v>
      </c>
      <c r="D19" s="7">
        <v>19.39</v>
      </c>
      <c r="E19" s="7">
        <v>83.63</v>
      </c>
      <c r="F19" s="7">
        <v>16.21</v>
      </c>
      <c r="G19" s="7">
        <v>0</v>
      </c>
      <c r="H19" s="7">
        <v>0</v>
      </c>
      <c r="I19" s="7">
        <v>0</v>
      </c>
      <c r="J19" s="7">
        <v>0.16</v>
      </c>
      <c r="K19" s="7">
        <v>0</v>
      </c>
    </row>
    <row r="20" spans="1:11" x14ac:dyDescent="0.3">
      <c r="A20" s="8" t="s">
        <v>33</v>
      </c>
      <c r="B20" s="9">
        <v>41.08</v>
      </c>
      <c r="C20" s="9">
        <v>-24.26</v>
      </c>
      <c r="D20" s="9">
        <v>8.83</v>
      </c>
      <c r="E20" s="9">
        <v>1.32</v>
      </c>
      <c r="F20" s="9">
        <v>32.81</v>
      </c>
      <c r="G20" s="9">
        <v>1.39</v>
      </c>
      <c r="H20" s="9">
        <v>0</v>
      </c>
      <c r="I20" s="9">
        <v>0</v>
      </c>
      <c r="J20" s="9">
        <v>64.48</v>
      </c>
      <c r="K20" s="9">
        <v>0</v>
      </c>
    </row>
    <row r="21" spans="1:11" x14ac:dyDescent="0.3">
      <c r="A21" s="6" t="s">
        <v>23</v>
      </c>
      <c r="B21" s="7">
        <v>75.33</v>
      </c>
      <c r="C21" s="7">
        <v>-0.71</v>
      </c>
      <c r="D21" s="7">
        <v>6.56</v>
      </c>
      <c r="E21" s="7">
        <v>89.55</v>
      </c>
      <c r="F21" s="7">
        <v>9.33</v>
      </c>
      <c r="G21" s="7">
        <v>0.19</v>
      </c>
      <c r="H21" s="7">
        <v>0.93</v>
      </c>
      <c r="I21" s="7">
        <v>0</v>
      </c>
      <c r="J21" s="7">
        <v>0</v>
      </c>
      <c r="K21" s="7">
        <v>0</v>
      </c>
    </row>
    <row r="22" spans="1:11" x14ac:dyDescent="0.3">
      <c r="A22" s="8" t="s">
        <v>35</v>
      </c>
      <c r="B22" s="9">
        <v>43.84</v>
      </c>
      <c r="C22" s="9">
        <v>2.35</v>
      </c>
      <c r="D22" s="9">
        <v>3.78</v>
      </c>
      <c r="E22" s="9">
        <v>33.04</v>
      </c>
      <c r="F22" s="9">
        <v>42.86</v>
      </c>
      <c r="G22" s="9">
        <v>10.71</v>
      </c>
      <c r="H22" s="9">
        <v>13.39</v>
      </c>
      <c r="I22" s="9">
        <v>0</v>
      </c>
      <c r="J22" s="9">
        <v>0</v>
      </c>
      <c r="K22" s="9">
        <v>0</v>
      </c>
    </row>
    <row r="23" spans="1:11" x14ac:dyDescent="0.3">
      <c r="A23" s="6" t="s">
        <v>36</v>
      </c>
      <c r="B23" s="7">
        <v>85.36</v>
      </c>
      <c r="C23" s="7">
        <v>2.0099999999999998</v>
      </c>
      <c r="D23" s="7">
        <v>13.4</v>
      </c>
      <c r="E23" s="7">
        <v>91.94</v>
      </c>
      <c r="F23" s="7">
        <v>7.84</v>
      </c>
      <c r="G23" s="7">
        <v>0.22</v>
      </c>
      <c r="H23" s="7">
        <v>0</v>
      </c>
      <c r="I23" s="7">
        <v>0</v>
      </c>
      <c r="J23" s="7">
        <v>0</v>
      </c>
      <c r="K23" s="7">
        <v>0</v>
      </c>
    </row>
    <row r="24" spans="1:11" x14ac:dyDescent="0.3">
      <c r="A24" s="8" t="s">
        <v>37</v>
      </c>
      <c r="B24" s="9">
        <v>42.64</v>
      </c>
      <c r="C24" s="9">
        <v>-9.73</v>
      </c>
      <c r="D24" s="9">
        <v>7.45</v>
      </c>
      <c r="E24" s="9">
        <v>13.41</v>
      </c>
      <c r="F24" s="9">
        <v>32.28</v>
      </c>
      <c r="G24" s="9">
        <v>15.85</v>
      </c>
      <c r="H24" s="9">
        <v>0</v>
      </c>
      <c r="I24" s="9">
        <v>0</v>
      </c>
      <c r="J24" s="9">
        <v>38.46</v>
      </c>
      <c r="K24" s="9">
        <v>0</v>
      </c>
    </row>
    <row r="25" spans="1:11" x14ac:dyDescent="0.3">
      <c r="A25" s="6" t="s">
        <v>38</v>
      </c>
      <c r="B25" s="7">
        <v>35.07</v>
      </c>
      <c r="C25" s="7">
        <v>-12.36</v>
      </c>
      <c r="D25" s="7">
        <v>3.68</v>
      </c>
      <c r="E25" s="7">
        <v>5.15</v>
      </c>
      <c r="F25" s="7">
        <v>21.93</v>
      </c>
      <c r="G25" s="7">
        <v>11.51</v>
      </c>
      <c r="H25" s="7">
        <v>61.41</v>
      </c>
      <c r="I25" s="7">
        <v>0</v>
      </c>
      <c r="J25" s="7">
        <v>0</v>
      </c>
      <c r="K25" s="7">
        <v>0</v>
      </c>
    </row>
    <row r="26" spans="1:11" x14ac:dyDescent="0.3">
      <c r="A26" s="8" t="s">
        <v>39</v>
      </c>
      <c r="B26" s="9">
        <v>44.81</v>
      </c>
      <c r="C26" s="9">
        <v>-1.33</v>
      </c>
      <c r="D26" s="9">
        <v>-6.36</v>
      </c>
      <c r="E26" s="9">
        <v>73.27</v>
      </c>
      <c r="F26" s="9">
        <v>0</v>
      </c>
      <c r="G26" s="9">
        <v>2.84</v>
      </c>
      <c r="H26" s="9">
        <v>17.75</v>
      </c>
      <c r="I26" s="9">
        <v>4.25</v>
      </c>
      <c r="J26" s="9">
        <v>0</v>
      </c>
      <c r="K26" s="9">
        <v>1.89</v>
      </c>
    </row>
    <row r="27" spans="1:11" x14ac:dyDescent="0.3">
      <c r="A27" s="6" t="s">
        <v>40</v>
      </c>
      <c r="B27" s="7">
        <v>39.67</v>
      </c>
      <c r="C27" s="7">
        <v>-7.52</v>
      </c>
      <c r="D27" s="7">
        <v>1.67</v>
      </c>
      <c r="E27" s="7">
        <v>17.96</v>
      </c>
      <c r="F27" s="7">
        <v>19.12</v>
      </c>
      <c r="G27" s="7">
        <v>12.34</v>
      </c>
      <c r="H27" s="7">
        <v>5.74</v>
      </c>
      <c r="I27" s="7">
        <v>0</v>
      </c>
      <c r="J27" s="7">
        <v>44.84</v>
      </c>
      <c r="K27" s="7">
        <v>0</v>
      </c>
    </row>
    <row r="28" spans="1:11" x14ac:dyDescent="0.3">
      <c r="A28" s="8" t="s">
        <v>41</v>
      </c>
      <c r="B28" s="9">
        <v>36.29</v>
      </c>
      <c r="C28" s="9">
        <v>-2.12</v>
      </c>
      <c r="D28" s="9">
        <v>-7.31</v>
      </c>
      <c r="E28" s="9">
        <v>50.7</v>
      </c>
      <c r="F28" s="9">
        <v>0</v>
      </c>
      <c r="G28" s="9">
        <v>0</v>
      </c>
      <c r="H28" s="9">
        <v>29.55</v>
      </c>
      <c r="I28" s="9">
        <v>15.02</v>
      </c>
      <c r="J28" s="9">
        <v>0</v>
      </c>
      <c r="K28" s="9">
        <v>4.7300000000000004</v>
      </c>
    </row>
    <row r="29" spans="1:11" x14ac:dyDescent="0.3">
      <c r="A29" s="6" t="s">
        <v>42</v>
      </c>
      <c r="B29" s="7">
        <v>30.29</v>
      </c>
      <c r="C29" s="7">
        <v>0.02</v>
      </c>
      <c r="D29" s="7">
        <v>-8.3800000000000008</v>
      </c>
      <c r="E29" s="7">
        <v>0</v>
      </c>
      <c r="F29" s="7">
        <v>47.4</v>
      </c>
      <c r="G29" s="7">
        <v>0</v>
      </c>
      <c r="H29" s="7">
        <v>5.19</v>
      </c>
      <c r="I29" s="7">
        <v>24.38</v>
      </c>
      <c r="J29" s="7">
        <v>0</v>
      </c>
      <c r="K29" s="7">
        <v>22.57</v>
      </c>
    </row>
    <row r="30" spans="1:11" x14ac:dyDescent="0.3">
      <c r="A30" s="8" t="s">
        <v>43</v>
      </c>
      <c r="B30" s="9">
        <v>73.88</v>
      </c>
      <c r="C30" s="9">
        <v>-13.56</v>
      </c>
      <c r="D30" s="9">
        <v>-23.5</v>
      </c>
      <c r="E30" s="9">
        <v>94.43</v>
      </c>
      <c r="F30" s="9">
        <v>0.28000000000000003</v>
      </c>
      <c r="G30" s="9">
        <v>0</v>
      </c>
      <c r="H30" s="9">
        <v>0</v>
      </c>
      <c r="I30" s="9">
        <v>5.29</v>
      </c>
      <c r="J30" s="9">
        <v>0</v>
      </c>
      <c r="K30" s="9">
        <v>0</v>
      </c>
    </row>
    <row r="31" spans="1:11" x14ac:dyDescent="0.3">
      <c r="A31" s="6" t="s">
        <v>44</v>
      </c>
      <c r="B31" s="7">
        <v>71.64</v>
      </c>
      <c r="C31" s="7">
        <v>-14.29</v>
      </c>
      <c r="D31" s="7">
        <v>-27.56</v>
      </c>
      <c r="E31" s="7">
        <v>92.96</v>
      </c>
      <c r="F31" s="7">
        <v>0</v>
      </c>
      <c r="G31" s="7">
        <v>0</v>
      </c>
      <c r="H31" s="7">
        <v>0.01</v>
      </c>
      <c r="I31" s="7">
        <v>7.04</v>
      </c>
      <c r="J31" s="7">
        <v>0</v>
      </c>
      <c r="K31" s="7">
        <v>0.01</v>
      </c>
    </row>
    <row r="32" spans="1:11" x14ac:dyDescent="0.3">
      <c r="A32" s="8" t="s">
        <v>45</v>
      </c>
      <c r="B32" s="9">
        <v>72.510000000000005</v>
      </c>
      <c r="C32" s="9">
        <v>-8.5</v>
      </c>
      <c r="D32" s="9">
        <v>24.99</v>
      </c>
      <c r="E32" s="9">
        <v>54.32</v>
      </c>
      <c r="F32" s="9">
        <v>43.61</v>
      </c>
      <c r="G32" s="9">
        <v>0</v>
      </c>
      <c r="H32" s="9">
        <v>0.01</v>
      </c>
      <c r="I32" s="9">
        <v>0</v>
      </c>
      <c r="J32" s="9">
        <v>2.0699999999999998</v>
      </c>
      <c r="K32" s="9">
        <v>0</v>
      </c>
    </row>
    <row r="33" spans="1:11" x14ac:dyDescent="0.3">
      <c r="A33" s="6" t="s">
        <v>46</v>
      </c>
      <c r="B33" s="7">
        <v>81.96</v>
      </c>
      <c r="C33" s="7">
        <v>-0.3</v>
      </c>
      <c r="D33" s="7">
        <v>-6.07</v>
      </c>
      <c r="E33" s="7">
        <v>99.42</v>
      </c>
      <c r="F33" s="7">
        <v>0</v>
      </c>
      <c r="G33" s="7">
        <v>0</v>
      </c>
      <c r="H33" s="7">
        <v>0.34</v>
      </c>
      <c r="I33" s="7">
        <v>0.21</v>
      </c>
      <c r="J33" s="7">
        <v>0</v>
      </c>
      <c r="K33" s="7">
        <v>0.03</v>
      </c>
    </row>
    <row r="34" spans="1:11" x14ac:dyDescent="0.3">
      <c r="A34" s="8" t="s">
        <v>47</v>
      </c>
      <c r="B34" s="9">
        <v>40.99</v>
      </c>
      <c r="C34" s="9">
        <v>27.42</v>
      </c>
      <c r="D34" s="9">
        <v>21.68</v>
      </c>
      <c r="E34" s="9">
        <v>6.5</v>
      </c>
      <c r="F34" s="9">
        <v>24.4</v>
      </c>
      <c r="G34" s="9">
        <v>69.11</v>
      </c>
      <c r="H34" s="9">
        <v>0.01</v>
      </c>
      <c r="I34" s="9">
        <v>0</v>
      </c>
      <c r="J34" s="9">
        <v>0</v>
      </c>
      <c r="K34" s="9">
        <v>0</v>
      </c>
    </row>
    <row r="35" spans="1:11" x14ac:dyDescent="0.3">
      <c r="A35" s="6" t="s">
        <v>48</v>
      </c>
      <c r="B35" s="7">
        <v>78.14</v>
      </c>
      <c r="C35" s="7">
        <v>-1.46</v>
      </c>
      <c r="D35" s="7">
        <v>8.5399999999999991</v>
      </c>
      <c r="E35" s="7">
        <v>87.45</v>
      </c>
      <c r="F35" s="7">
        <v>11.81</v>
      </c>
      <c r="G35" s="7">
        <v>0</v>
      </c>
      <c r="H35" s="7">
        <v>0.7</v>
      </c>
      <c r="I35" s="7">
        <v>0</v>
      </c>
      <c r="J35" s="7">
        <v>0.04</v>
      </c>
      <c r="K35" s="7">
        <v>0</v>
      </c>
    </row>
    <row r="36" spans="1:11" x14ac:dyDescent="0.3">
      <c r="A36" s="8" t="s">
        <v>49</v>
      </c>
      <c r="B36" s="9">
        <v>65.69</v>
      </c>
      <c r="C36" s="9">
        <v>9.42</v>
      </c>
      <c r="D36" s="9">
        <v>28.01</v>
      </c>
      <c r="E36" s="9">
        <v>19.399999999999999</v>
      </c>
      <c r="F36" s="9">
        <v>80.599999999999994</v>
      </c>
      <c r="G36" s="9">
        <v>0.01</v>
      </c>
      <c r="H36" s="9">
        <v>0.01</v>
      </c>
      <c r="I36" s="9">
        <v>0</v>
      </c>
      <c r="J36" s="9">
        <v>0</v>
      </c>
      <c r="K36" s="9">
        <v>0</v>
      </c>
    </row>
    <row r="37" spans="1:11" x14ac:dyDescent="0.3">
      <c r="A37" s="6" t="s">
        <v>50</v>
      </c>
      <c r="B37" s="7">
        <v>81.34</v>
      </c>
      <c r="C37" s="7">
        <v>-1.24</v>
      </c>
      <c r="D37" s="7">
        <v>0.93</v>
      </c>
      <c r="E37" s="7">
        <v>95.89</v>
      </c>
      <c r="F37" s="7">
        <v>3.65</v>
      </c>
      <c r="G37" s="7">
        <v>0.01</v>
      </c>
      <c r="H37" s="7">
        <v>0.46</v>
      </c>
      <c r="I37" s="7">
        <v>0</v>
      </c>
      <c r="J37" s="7">
        <v>0</v>
      </c>
      <c r="K37" s="7">
        <v>0</v>
      </c>
    </row>
    <row r="38" spans="1:11" x14ac:dyDescent="0.3">
      <c r="A38" s="8" t="s">
        <v>51</v>
      </c>
      <c r="B38" s="9">
        <v>36.1</v>
      </c>
      <c r="C38" s="9">
        <v>7.6</v>
      </c>
      <c r="D38" s="9">
        <v>9.09</v>
      </c>
      <c r="E38" s="9">
        <v>5.95</v>
      </c>
      <c r="F38" s="9">
        <v>59.52</v>
      </c>
      <c r="G38" s="9">
        <v>23.81</v>
      </c>
      <c r="H38" s="9">
        <v>10.71</v>
      </c>
      <c r="I38" s="9">
        <v>0</v>
      </c>
      <c r="J38" s="9">
        <v>0</v>
      </c>
      <c r="K38" s="9">
        <v>0</v>
      </c>
    </row>
    <row r="39" spans="1:11" x14ac:dyDescent="0.3">
      <c r="A39" s="6" t="s">
        <v>52</v>
      </c>
      <c r="B39" s="7">
        <v>36.76</v>
      </c>
      <c r="C39" s="7">
        <v>6.96</v>
      </c>
      <c r="D39" s="7">
        <v>9.34</v>
      </c>
      <c r="E39" s="7">
        <v>5.85</v>
      </c>
      <c r="F39" s="7">
        <v>64.900000000000006</v>
      </c>
      <c r="G39" s="7">
        <v>19.5</v>
      </c>
      <c r="H39" s="7">
        <v>9.75</v>
      </c>
      <c r="I39" s="7">
        <v>0</v>
      </c>
      <c r="J39" s="7">
        <v>0</v>
      </c>
      <c r="K39" s="7">
        <v>0</v>
      </c>
    </row>
    <row r="40" spans="1:11" x14ac:dyDescent="0.3">
      <c r="A40" s="8" t="s">
        <v>53</v>
      </c>
      <c r="B40" s="9">
        <v>71.02</v>
      </c>
      <c r="C40" s="9">
        <v>-0.36</v>
      </c>
      <c r="D40" s="9">
        <v>-1.28</v>
      </c>
      <c r="E40" s="9">
        <v>94.59</v>
      </c>
      <c r="F40" s="9">
        <v>3.68</v>
      </c>
      <c r="G40" s="9">
        <v>0.39</v>
      </c>
      <c r="H40" s="9">
        <v>1.33</v>
      </c>
      <c r="I40" s="9">
        <v>0</v>
      </c>
      <c r="J40" s="9">
        <v>0.01</v>
      </c>
      <c r="K40" s="9">
        <v>0</v>
      </c>
    </row>
    <row r="41" spans="1:11" x14ac:dyDescent="0.3">
      <c r="A41" s="6" t="s">
        <v>54</v>
      </c>
      <c r="B41" s="7">
        <v>67.94</v>
      </c>
      <c r="C41" s="7">
        <v>-0.56999999999999995</v>
      </c>
      <c r="D41" s="7">
        <v>1.35</v>
      </c>
      <c r="E41" s="7">
        <v>93.37</v>
      </c>
      <c r="F41" s="7">
        <v>5.48</v>
      </c>
      <c r="G41" s="7">
        <v>0.03</v>
      </c>
      <c r="H41" s="7">
        <v>1.1200000000000001</v>
      </c>
      <c r="I41" s="7">
        <v>0</v>
      </c>
      <c r="J41" s="7">
        <v>0</v>
      </c>
      <c r="K41" s="7">
        <v>0</v>
      </c>
    </row>
    <row r="42" spans="1:11" x14ac:dyDescent="0.3">
      <c r="A42" s="8" t="s">
        <v>55</v>
      </c>
      <c r="B42" s="9">
        <v>54.29</v>
      </c>
      <c r="C42" s="9">
        <v>-6.84</v>
      </c>
      <c r="D42" s="9">
        <v>8.5500000000000007</v>
      </c>
      <c r="E42" s="9">
        <v>42.58</v>
      </c>
      <c r="F42" s="9">
        <v>48.14</v>
      </c>
      <c r="G42" s="9">
        <v>0</v>
      </c>
      <c r="H42" s="9">
        <v>3.54</v>
      </c>
      <c r="I42" s="9">
        <v>0</v>
      </c>
      <c r="J42" s="9">
        <v>5.75</v>
      </c>
      <c r="K42" s="9">
        <v>0</v>
      </c>
    </row>
    <row r="43" spans="1:11" x14ac:dyDescent="0.3">
      <c r="A43" s="6" t="s">
        <v>56</v>
      </c>
      <c r="B43" s="7">
        <v>64.3</v>
      </c>
      <c r="C43" s="7">
        <v>-1.41</v>
      </c>
      <c r="D43" s="7">
        <v>-3.33</v>
      </c>
      <c r="E43" s="7">
        <v>92.09</v>
      </c>
      <c r="F43" s="7">
        <v>4.4889999999999999</v>
      </c>
      <c r="G43" s="7">
        <v>0.01</v>
      </c>
      <c r="H43" s="7">
        <v>3.37</v>
      </c>
      <c r="I43" s="7">
        <v>0</v>
      </c>
      <c r="J43" s="7">
        <v>0</v>
      </c>
      <c r="K43" s="7">
        <v>0.04</v>
      </c>
    </row>
    <row r="44" spans="1:11" x14ac:dyDescent="0.3">
      <c r="A44" s="8" t="s">
        <v>57</v>
      </c>
      <c r="B44" s="9">
        <v>33.18</v>
      </c>
      <c r="C44" s="9">
        <v>2.75</v>
      </c>
      <c r="D44" s="9">
        <v>-28.2</v>
      </c>
      <c r="E44" s="9">
        <v>17.73</v>
      </c>
      <c r="F44" s="9">
        <v>8.99</v>
      </c>
      <c r="G44" s="9">
        <v>0</v>
      </c>
      <c r="H44" s="9">
        <v>0.24</v>
      </c>
      <c r="I44" s="9">
        <v>67.239999999999995</v>
      </c>
      <c r="J44" s="9">
        <v>0</v>
      </c>
      <c r="K44" s="9">
        <v>5.81</v>
      </c>
    </row>
    <row r="45" spans="1:11" x14ac:dyDescent="0.3">
      <c r="A45" s="6" t="s">
        <v>58</v>
      </c>
      <c r="B45" s="7">
        <v>42.2</v>
      </c>
      <c r="C45" s="7">
        <v>-12.28</v>
      </c>
      <c r="D45" s="7">
        <v>-14.95</v>
      </c>
      <c r="E45" s="7">
        <v>37.590000000000003</v>
      </c>
      <c r="F45" s="7">
        <v>8.23</v>
      </c>
      <c r="G45" s="7">
        <v>0</v>
      </c>
      <c r="H45" s="7">
        <v>6.5</v>
      </c>
      <c r="I45" s="7">
        <v>38.54</v>
      </c>
      <c r="J45" s="7">
        <v>21.1</v>
      </c>
      <c r="K45" s="7">
        <v>0</v>
      </c>
    </row>
    <row r="46" spans="1:11" x14ac:dyDescent="0.3">
      <c r="A46" s="8" t="s">
        <v>59</v>
      </c>
      <c r="B46" s="9">
        <v>52.88</v>
      </c>
      <c r="C46" s="9">
        <v>-7.3</v>
      </c>
      <c r="D46" s="9">
        <v>-9.64</v>
      </c>
      <c r="E46" s="9">
        <v>74.56</v>
      </c>
      <c r="F46" s="9">
        <v>5.84</v>
      </c>
      <c r="G46" s="9">
        <v>3.33</v>
      </c>
      <c r="H46" s="9">
        <v>4.9000000000000004</v>
      </c>
      <c r="I46" s="9">
        <v>11.37</v>
      </c>
      <c r="J46" s="9">
        <v>0</v>
      </c>
      <c r="K46" s="9">
        <v>0</v>
      </c>
    </row>
    <row r="47" spans="1:11" x14ac:dyDescent="0.3">
      <c r="A47" s="6" t="s">
        <v>60</v>
      </c>
      <c r="B47" s="7">
        <v>60.4</v>
      </c>
      <c r="C47" s="7">
        <v>11.53</v>
      </c>
      <c r="D47" s="7">
        <v>19.3</v>
      </c>
      <c r="E47" s="7">
        <v>54.6</v>
      </c>
      <c r="F47" s="7">
        <v>46.47</v>
      </c>
      <c r="G47" s="7">
        <v>6.56</v>
      </c>
      <c r="H47" s="7">
        <v>1.37</v>
      </c>
      <c r="I47" s="7">
        <v>0</v>
      </c>
      <c r="J47" s="7">
        <v>0</v>
      </c>
      <c r="K47" s="7">
        <v>0</v>
      </c>
    </row>
    <row r="48" spans="1:11" x14ac:dyDescent="0.3">
      <c r="A48" s="8" t="s">
        <v>61</v>
      </c>
      <c r="B48" s="9">
        <v>50.81</v>
      </c>
      <c r="C48" s="9">
        <v>1.4</v>
      </c>
      <c r="D48" s="9">
        <v>1.98</v>
      </c>
      <c r="E48" s="9">
        <v>95.89</v>
      </c>
      <c r="F48" s="9">
        <v>4.0599999999999996</v>
      </c>
      <c r="G48" s="9">
        <v>0.01</v>
      </c>
      <c r="H48" s="9">
        <v>0.03</v>
      </c>
      <c r="I48" s="9">
        <v>0</v>
      </c>
      <c r="J48" s="9">
        <v>0</v>
      </c>
      <c r="K48" s="9">
        <v>0</v>
      </c>
    </row>
    <row r="49" spans="1:11" x14ac:dyDescent="0.3">
      <c r="A49" s="6" t="s">
        <v>62</v>
      </c>
      <c r="B49" s="7">
        <v>88.65</v>
      </c>
      <c r="C49" s="7">
        <v>-0.88</v>
      </c>
      <c r="D49" s="7">
        <v>5.33</v>
      </c>
      <c r="E49" s="7">
        <v>95.75</v>
      </c>
      <c r="F49" s="7">
        <v>4.21</v>
      </c>
      <c r="G49" s="7">
        <v>0.03</v>
      </c>
      <c r="H49" s="7">
        <v>0.01</v>
      </c>
      <c r="I49" s="7">
        <v>0</v>
      </c>
      <c r="J49" s="7">
        <v>0</v>
      </c>
      <c r="K49" s="7">
        <v>0</v>
      </c>
    </row>
    <row r="50" spans="1:11" x14ac:dyDescent="0.3">
      <c r="A50" s="10">
        <v>3041</v>
      </c>
      <c r="B50" s="9">
        <v>88.13</v>
      </c>
      <c r="C50" s="9">
        <v>-0.97</v>
      </c>
      <c r="D50" s="9">
        <v>3.44</v>
      </c>
      <c r="E50" s="9">
        <v>98.48</v>
      </c>
      <c r="F50" s="9">
        <v>1.38</v>
      </c>
      <c r="G50" s="9">
        <v>0.06</v>
      </c>
      <c r="H50" s="9">
        <v>0.08</v>
      </c>
      <c r="I50" s="9">
        <v>0</v>
      </c>
      <c r="J50" s="9">
        <v>0</v>
      </c>
      <c r="K50" s="9">
        <v>0</v>
      </c>
    </row>
    <row r="51" spans="1:11" x14ac:dyDescent="0.3">
      <c r="A51" t="s">
        <v>63</v>
      </c>
      <c r="B51" s="7">
        <v>88.38</v>
      </c>
      <c r="C51" s="7">
        <v>1.29</v>
      </c>
      <c r="D51" s="7">
        <v>4.2699999999999996</v>
      </c>
      <c r="E51" s="7">
        <v>97.93</v>
      </c>
      <c r="F51" s="7">
        <v>1.71</v>
      </c>
      <c r="G51" s="7">
        <v>0.28999999999999998</v>
      </c>
      <c r="H51" s="7">
        <v>0.06</v>
      </c>
      <c r="I51" s="7">
        <v>0</v>
      </c>
      <c r="J51" s="7">
        <v>0</v>
      </c>
      <c r="K51" s="7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2026-01-13T07:45:59Z</dcterms:created>
  <dcterms:modified xsi:type="dcterms:W3CDTF">2026-01-21T07:25:22Z</dcterms:modified>
</cp:coreProperties>
</file>